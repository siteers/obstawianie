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.sitko.ITSK\Desktop\"/>
    </mc:Choice>
  </mc:AlternateContent>
  <xr:revisionPtr revIDLastSave="0" documentId="13_ncr:1_{BF0ACEA7-77D6-4F8C-AC10-B8C58BA55CEF}" xr6:coauthVersionLast="47" xr6:coauthVersionMax="47" xr10:uidLastSave="{00000000-0000-0000-0000-000000000000}"/>
  <bookViews>
    <workbookView xWindow="28680" yWindow="-120" windowWidth="29040" windowHeight="15720" xr2:uid="{E602EBC5-8EF0-4F4C-8CB8-0A126A2F7210}"/>
  </bookViews>
  <sheets>
    <sheet name="1_Kwartał" sheetId="1" r:id="rId1"/>
    <sheet name="2_Kwartał" sheetId="2" r:id="rId2"/>
    <sheet name="3_Kwartał" sheetId="3" r:id="rId3"/>
    <sheet name="4_Kwartał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07" i="1" l="1"/>
  <c r="F107" i="1"/>
  <c r="C108" i="1"/>
  <c r="D108" i="1"/>
  <c r="F108" i="1"/>
  <c r="C37" i="1"/>
  <c r="D37" i="1"/>
  <c r="E37" i="1"/>
  <c r="F37" i="1"/>
  <c r="B37" i="1"/>
  <c r="C36" i="1"/>
  <c r="D36" i="1"/>
  <c r="E36" i="1"/>
  <c r="F36" i="1"/>
  <c r="B36" i="1"/>
  <c r="C68" i="1"/>
  <c r="D68" i="1"/>
  <c r="E68" i="1"/>
  <c r="E108" i="1" s="1"/>
  <c r="F68" i="1"/>
  <c r="B68" i="1"/>
  <c r="B108" i="1" s="1"/>
  <c r="C67" i="1"/>
  <c r="D67" i="1"/>
  <c r="D107" i="1" s="1"/>
  <c r="E67" i="1"/>
  <c r="E107" i="1" s="1"/>
  <c r="F67" i="1"/>
  <c r="B67" i="1"/>
  <c r="B107" i="1" s="1"/>
  <c r="C102" i="1"/>
  <c r="D102" i="1"/>
  <c r="E102" i="1"/>
  <c r="F102" i="1"/>
  <c r="B102" i="1"/>
  <c r="C101" i="1"/>
  <c r="D101" i="1"/>
  <c r="E101" i="1"/>
  <c r="B101" i="1"/>
  <c r="J100" i="1"/>
  <c r="I100" i="1"/>
  <c r="J99" i="1"/>
  <c r="I99" i="1"/>
  <c r="J98" i="1"/>
  <c r="I98" i="1"/>
  <c r="J97" i="1"/>
  <c r="I97" i="1"/>
  <c r="J96" i="1"/>
  <c r="I96" i="1"/>
  <c r="J95" i="1"/>
  <c r="I95" i="1"/>
  <c r="J94" i="1"/>
  <c r="I94" i="1"/>
  <c r="J93" i="1"/>
  <c r="I93" i="1"/>
  <c r="J92" i="1"/>
  <c r="I92" i="1"/>
  <c r="J91" i="1"/>
  <c r="I91" i="1"/>
  <c r="J90" i="1"/>
  <c r="I90" i="1"/>
  <c r="J89" i="1"/>
  <c r="I89" i="1"/>
  <c r="J88" i="1"/>
  <c r="I88" i="1"/>
  <c r="J87" i="1"/>
  <c r="I87" i="1"/>
  <c r="J86" i="1"/>
  <c r="I86" i="1"/>
  <c r="J85" i="1"/>
  <c r="I85" i="1"/>
  <c r="J84" i="1"/>
  <c r="I84" i="1"/>
  <c r="J83" i="1"/>
  <c r="I83" i="1"/>
  <c r="J82" i="1"/>
  <c r="I82" i="1"/>
  <c r="J81" i="1"/>
  <c r="I81" i="1"/>
  <c r="J80" i="1"/>
  <c r="I80" i="1"/>
  <c r="J79" i="1"/>
  <c r="I79" i="1"/>
  <c r="J78" i="1"/>
  <c r="I78" i="1"/>
  <c r="J77" i="1"/>
  <c r="I77" i="1"/>
  <c r="J76" i="1"/>
  <c r="I76" i="1"/>
  <c r="J75" i="1"/>
  <c r="I75" i="1"/>
  <c r="J74" i="1"/>
  <c r="I74" i="1"/>
  <c r="J73" i="1"/>
  <c r="I73" i="1"/>
  <c r="J72" i="1"/>
  <c r="I72" i="1"/>
  <c r="J71" i="1"/>
  <c r="I71" i="1"/>
  <c r="J70" i="1"/>
  <c r="I70" i="1"/>
  <c r="J66" i="1"/>
  <c r="I66" i="1"/>
  <c r="J65" i="1"/>
  <c r="I65" i="1"/>
  <c r="J64" i="1"/>
  <c r="I64" i="1"/>
  <c r="J63" i="1"/>
  <c r="I63" i="1"/>
  <c r="J62" i="1"/>
  <c r="I62" i="1"/>
  <c r="J61" i="1"/>
  <c r="I61" i="1"/>
  <c r="J60" i="1"/>
  <c r="I60" i="1"/>
  <c r="J59" i="1"/>
  <c r="I59" i="1"/>
  <c r="J58" i="1"/>
  <c r="I58" i="1"/>
  <c r="J57" i="1"/>
  <c r="I57" i="1"/>
  <c r="J56" i="1"/>
  <c r="I56" i="1"/>
  <c r="J55" i="1"/>
  <c r="I55" i="1"/>
  <c r="J54" i="1"/>
  <c r="I54" i="1"/>
  <c r="J53" i="1"/>
  <c r="I53" i="1"/>
  <c r="J52" i="1"/>
  <c r="I52" i="1"/>
  <c r="J51" i="1"/>
  <c r="I51" i="1"/>
  <c r="J50" i="1"/>
  <c r="I50" i="1"/>
  <c r="J49" i="1"/>
  <c r="I49" i="1"/>
  <c r="J48" i="1"/>
  <c r="I48" i="1"/>
  <c r="J47" i="1"/>
  <c r="I47" i="1"/>
  <c r="J46" i="1"/>
  <c r="I46" i="1"/>
  <c r="J45" i="1"/>
  <c r="I45" i="1"/>
  <c r="J44" i="1"/>
  <c r="I44" i="1"/>
  <c r="J43" i="1"/>
  <c r="I43" i="1"/>
  <c r="J42" i="1"/>
  <c r="I42" i="1"/>
  <c r="J41" i="1"/>
  <c r="I41" i="1"/>
  <c r="J40" i="1"/>
  <c r="I40" i="1"/>
  <c r="J39" i="1"/>
  <c r="I39" i="1"/>
  <c r="J35" i="1"/>
  <c r="I35" i="1"/>
  <c r="J34" i="1"/>
  <c r="I34" i="1"/>
  <c r="J33" i="1"/>
  <c r="I33" i="1"/>
  <c r="J32" i="1"/>
  <c r="I32" i="1"/>
  <c r="J31" i="1"/>
  <c r="I31" i="1"/>
  <c r="J30" i="1"/>
  <c r="I30" i="1"/>
  <c r="J29" i="1"/>
  <c r="I29" i="1"/>
  <c r="J28" i="1"/>
  <c r="I28" i="1"/>
  <c r="J27" i="1"/>
  <c r="I27" i="1"/>
  <c r="J26" i="1"/>
  <c r="I26" i="1"/>
  <c r="J25" i="1"/>
  <c r="I25" i="1"/>
  <c r="J24" i="1"/>
  <c r="I24" i="1"/>
  <c r="J23" i="1"/>
  <c r="I23" i="1"/>
  <c r="J22" i="1"/>
  <c r="I22" i="1"/>
  <c r="J21" i="1"/>
  <c r="I21" i="1"/>
  <c r="J20" i="1"/>
  <c r="I20" i="1"/>
  <c r="J19" i="1"/>
  <c r="I19" i="1"/>
  <c r="J18" i="1"/>
  <c r="I18" i="1"/>
  <c r="J17" i="1"/>
  <c r="I17" i="1"/>
  <c r="J16" i="1"/>
  <c r="I16" i="1"/>
  <c r="J15" i="1"/>
  <c r="I15" i="1"/>
  <c r="J14" i="1"/>
  <c r="I14" i="1"/>
  <c r="J13" i="1"/>
  <c r="I13" i="1"/>
  <c r="J12" i="1"/>
  <c r="I12" i="1"/>
  <c r="J11" i="1"/>
  <c r="I11" i="1"/>
  <c r="J10" i="1"/>
  <c r="I10" i="1"/>
  <c r="J9" i="1"/>
  <c r="I9" i="1"/>
  <c r="J8" i="1"/>
  <c r="I8" i="1"/>
  <c r="J7" i="1"/>
  <c r="I7" i="1"/>
  <c r="J6" i="1"/>
  <c r="I6" i="1"/>
  <c r="J5" i="1"/>
  <c r="I5" i="1"/>
  <c r="F101" i="1" l="1"/>
</calcChain>
</file>

<file path=xl/sharedStrings.xml><?xml version="1.0" encoding="utf-8"?>
<sst xmlns="http://schemas.openxmlformats.org/spreadsheetml/2006/main" count="295" uniqueCount="13">
  <si>
    <t>HARMONOGRAM PRACY ITS</t>
  </si>
  <si>
    <t xml:space="preserve">I KWARTAŁ 2025 </t>
  </si>
  <si>
    <t>Szymura Grzegorz</t>
  </si>
  <si>
    <t>Sitko Krzysztof</t>
  </si>
  <si>
    <t>Pilarski Grzegorz</t>
  </si>
  <si>
    <t>Urbańczyk Mariusz</t>
  </si>
  <si>
    <t>Dominik Waligóra</t>
  </si>
  <si>
    <t>R</t>
  </si>
  <si>
    <t>P</t>
  </si>
  <si>
    <t>MARZEC</t>
  </si>
  <si>
    <t>LUTY</t>
  </si>
  <si>
    <t>STYCZEŃ</t>
  </si>
  <si>
    <t>SUMA Q1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</si>
</sst>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5]d\ mmm;@"/>
  </numFmts>
  <fonts count="2" x14ac:knownFonts="1">
    <font>
      <sz val="11"/>
      <color theme="1"/>
      <name val="Calibri"/>
      <family val="2"/>
      <charset val="238"/>
      <scheme val="minor"/>
    </font>
    <font>
      <sz val="11"/>
      <color theme="1"/>
      <name val="Times New Roman"/>
      <family val="1"/>
      <charset val="238"/>
    </font>
  </fonts>
  <fills count="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1">
    <xf numFmtId="0" fontId="0" fillId="0" borderId="0"/>
  </cellStyleXfs>
  <cellXfs count="28">
    <xf numFmtId="0" fontId="0" fillId="0" borderId="0" xfId="0"/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 textRotation="90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 textRotation="90"/>
    </xf>
    <xf numFmtId="0" fontId="0" fillId="6" borderId="1" xfId="0" applyFill="1" applyBorder="1"/>
    <xf numFmtId="0" fontId="0" fillId="2" borderId="1" xfId="0" applyFill="1" applyBorder="1"/>
    <xf numFmtId="0" fontId="0" fillId="7" borderId="1" xfId="0" applyFill="1" applyBorder="1" applyAlignment="1">
      <alignment horizontal="center" vertical="center"/>
    </xf>
    <xf numFmtId="0" fontId="0" fillId="7" borderId="7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0" borderId="14" xfId="0" applyBorder="1"/>
    <xf numFmtId="0" fontId="0" fillId="0" borderId="1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2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Normalny" xfId="0" builtinId="0"/>
  </cellStyles>
  <dxfs count="12">
    <dxf>
      <font>
        <color auto="1"/>
      </font>
      <fill>
        <patternFill>
          <bgColor theme="9" tint="0.59996337778862885"/>
        </patternFill>
      </fill>
    </dxf>
    <dxf>
      <fill>
        <patternFill>
          <bgColor rgb="FF00B05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theme="9" tint="0.59996337778862885"/>
        </patternFill>
      </fill>
    </dxf>
    <dxf>
      <fill>
        <patternFill>
          <bgColor rgb="FF00B05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theme="9" tint="0.59996337778862885"/>
        </patternFill>
      </fill>
    </dxf>
    <dxf>
      <fill>
        <patternFill>
          <bgColor rgb="FF00B05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FA7A9-B45B-4D4A-963B-DB6CD903D50A}">
  <dimension ref="A1:T108"/>
  <sheetViews>
    <sheetView tabSelected="1" workbookViewId="0">
      <pane ySplit="3" topLeftCell="A31" activePane="bottomLeft" state="frozen"/>
      <selection pane="bottomLeft" activeCell="U43" sqref="U43"/>
    </sheetView>
  </sheetViews>
  <sheetFormatPr defaultRowHeight="15" x14ac:dyDescent="0.25"/>
  <cols>
    <col min="7" max="7" width="0.5703125" customWidth="1"/>
  </cols>
  <sheetData>
    <row r="1" spans="1:20" x14ac:dyDescent="0.25">
      <c r="A1" s="25" t="s">
        <v>0</v>
      </c>
      <c r="B1" s="26"/>
      <c r="C1" s="26"/>
      <c r="D1" s="26"/>
      <c r="E1" s="26"/>
      <c r="F1" s="26"/>
      <c r="G1" s="27"/>
    </row>
    <row r="2" spans="1:20" x14ac:dyDescent="0.25">
      <c r="A2" s="25" t="s">
        <v>1</v>
      </c>
      <c r="B2" s="26"/>
      <c r="C2" s="26"/>
      <c r="D2" s="26"/>
      <c r="E2" s="26"/>
      <c r="F2" s="26"/>
      <c r="G2" s="27"/>
    </row>
    <row r="3" spans="1:20" ht="93" thickBot="1" x14ac:dyDescent="0.3">
      <c r="A3" s="4"/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4"/>
      <c r="P3" s="14" t="s">
        <v>2</v>
      </c>
      <c r="Q3" s="14" t="s">
        <v>3</v>
      </c>
      <c r="R3" s="14" t="s">
        <v>4</v>
      </c>
      <c r="S3" s="14" t="s">
        <v>5</v>
      </c>
      <c r="T3" s="14" t="s">
        <v>6</v>
      </c>
    </row>
    <row r="4" spans="1:20" ht="15.75" thickBot="1" x14ac:dyDescent="0.3">
      <c r="A4" s="21" t="s">
        <v>11</v>
      </c>
      <c r="B4" s="22"/>
      <c r="C4" s="22"/>
      <c r="D4" s="22"/>
      <c r="E4" s="22"/>
      <c r="F4" s="22"/>
      <c r="G4" s="22"/>
      <c r="H4" s="23"/>
      <c r="I4" s="2" t="s">
        <v>7</v>
      </c>
      <c r="J4" s="1" t="s">
        <v>8</v>
      </c>
      <c r="K4" s="6"/>
      <c r="P4" s="24" t="s">
        <v>11</v>
      </c>
      <c r="Q4" s="24"/>
      <c r="R4" s="24"/>
      <c r="S4" s="24"/>
      <c r="T4" s="24"/>
    </row>
    <row r="5" spans="1:20" x14ac:dyDescent="0.25">
      <c r="A5" s="3">
        <v>46023</v>
      </c>
      <c r="B5" s="17"/>
      <c r="C5" s="17"/>
      <c r="D5" s="17"/>
      <c r="E5" s="17"/>
      <c r="F5" s="17"/>
      <c r="G5" s="18"/>
      <c r="H5" s="12"/>
      <c r="I5" s="9">
        <f>COUNTIF(B5:F5,"R")-H5</f>
        <v>0</v>
      </c>
      <c r="J5" s="11">
        <f>COUNTIF(B5:G5,"P")-K5</f>
        <v>0</v>
      </c>
      <c r="K5" s="12"/>
      <c r="P5" s="20"/>
      <c r="Q5" s="20"/>
      <c r="R5" s="20"/>
      <c r="S5" s="20"/>
      <c r="T5" s="20"/>
    </row>
    <row r="6" spans="1:20" x14ac:dyDescent="0.25">
      <c r="A6" s="3">
        <v>46024</v>
      </c>
      <c r="B6" s="13" t="s">
        <v>7</v>
      </c>
      <c r="C6" s="8"/>
      <c r="D6" s="8"/>
      <c r="E6" s="8"/>
      <c r="F6" s="13" t="s">
        <v>8</v>
      </c>
      <c r="G6" s="19"/>
      <c r="H6" s="12"/>
      <c r="I6" s="9">
        <f>COUNTIF(B6:F6,"R")-H6</f>
        <v>1</v>
      </c>
      <c r="J6" s="11">
        <f t="shared" ref="J6:J35" si="0">COUNTIF(B6:G6,"P")-K6</f>
        <v>1</v>
      </c>
      <c r="K6" s="12"/>
      <c r="P6" s="16"/>
      <c r="Q6" s="16"/>
      <c r="R6" s="15"/>
      <c r="S6" s="15"/>
      <c r="T6" s="15"/>
    </row>
    <row r="7" spans="1:20" x14ac:dyDescent="0.25">
      <c r="A7" s="3">
        <v>46025</v>
      </c>
      <c r="B7" s="17"/>
      <c r="C7" s="17"/>
      <c r="D7" s="17"/>
      <c r="E7" s="17"/>
      <c r="F7" s="17"/>
      <c r="G7" s="18"/>
      <c r="H7" s="12"/>
      <c r="I7" s="9">
        <f t="shared" ref="I7:I35" si="1">COUNTIF(B7:F7,"R")-H7</f>
        <v>0</v>
      </c>
      <c r="J7" s="11">
        <f t="shared" si="0"/>
        <v>0</v>
      </c>
      <c r="K7" s="12"/>
      <c r="P7" s="15"/>
      <c r="Q7" s="16"/>
      <c r="R7" s="15"/>
      <c r="S7" s="16"/>
      <c r="T7" s="15"/>
    </row>
    <row r="8" spans="1:20" x14ac:dyDescent="0.25">
      <c r="A8" s="3">
        <v>46026</v>
      </c>
      <c r="B8" s="17"/>
      <c r="C8" s="17"/>
      <c r="D8" s="17"/>
      <c r="E8" s="17"/>
      <c r="F8" s="17"/>
      <c r="G8" s="18"/>
      <c r="H8" s="12"/>
      <c r="I8" s="9">
        <f t="shared" si="1"/>
        <v>0</v>
      </c>
      <c r="J8" s="11">
        <f t="shared" si="0"/>
        <v>0</v>
      </c>
      <c r="K8" s="12"/>
      <c r="P8" s="16"/>
      <c r="Q8" s="15"/>
      <c r="R8" s="15"/>
      <c r="S8" s="15"/>
      <c r="T8" s="16"/>
    </row>
    <row r="9" spans="1:20" x14ac:dyDescent="0.25">
      <c r="A9" s="3">
        <v>46027</v>
      </c>
      <c r="B9" s="13" t="s">
        <v>8</v>
      </c>
      <c r="C9" s="8"/>
      <c r="D9" s="8"/>
      <c r="E9" s="8"/>
      <c r="F9" s="13" t="s">
        <v>7</v>
      </c>
      <c r="G9" s="19"/>
      <c r="H9" s="12"/>
      <c r="I9" s="9">
        <f t="shared" si="1"/>
        <v>1</v>
      </c>
      <c r="J9" s="11">
        <f t="shared" si="0"/>
        <v>1</v>
      </c>
      <c r="K9" s="12"/>
      <c r="P9" s="15"/>
      <c r="Q9" s="16"/>
      <c r="R9" s="15"/>
      <c r="S9" s="16"/>
      <c r="T9" s="15"/>
    </row>
    <row r="10" spans="1:20" x14ac:dyDescent="0.25">
      <c r="A10" s="3">
        <v>46028</v>
      </c>
      <c r="B10" s="17"/>
      <c r="C10" s="17"/>
      <c r="D10" s="17"/>
      <c r="E10" s="17"/>
      <c r="F10" s="17"/>
      <c r="G10" s="18"/>
      <c r="H10" s="10"/>
      <c r="I10" s="9">
        <f t="shared" si="1"/>
        <v>0</v>
      </c>
      <c r="J10" s="11">
        <f t="shared" si="0"/>
        <v>0</v>
      </c>
      <c r="K10" s="10"/>
      <c r="P10" s="24" t="s">
        <v>10</v>
      </c>
      <c r="Q10" s="24"/>
      <c r="R10" s="24"/>
      <c r="S10" s="24"/>
      <c r="T10" s="24"/>
    </row>
    <row r="11" spans="1:20" x14ac:dyDescent="0.25">
      <c r="A11" s="3">
        <v>46029</v>
      </c>
      <c r="B11" s="13" t="s">
        <v>8</v>
      </c>
      <c r="C11" s="13" t="s">
        <v>8</v>
      </c>
      <c r="D11" s="13" t="s">
        <v>7</v>
      </c>
      <c r="E11" s="13" t="s">
        <v>7</v>
      </c>
      <c r="F11" s="13" t="s">
        <v>7</v>
      </c>
      <c r="G11" s="19"/>
      <c r="H11" s="10"/>
      <c r="I11" s="9">
        <f t="shared" si="1"/>
        <v>3</v>
      </c>
      <c r="J11" s="11">
        <f t="shared" si="0"/>
        <v>2</v>
      </c>
      <c r="K11" s="10"/>
      <c r="P11" s="16"/>
      <c r="Q11" s="15"/>
      <c r="R11" s="16"/>
      <c r="S11" s="15"/>
      <c r="T11" s="4"/>
    </row>
    <row r="12" spans="1:20" x14ac:dyDescent="0.25">
      <c r="A12" s="3">
        <v>46030</v>
      </c>
      <c r="B12" s="13" t="s">
        <v>8</v>
      </c>
      <c r="C12" s="13" t="s">
        <v>8</v>
      </c>
      <c r="D12" s="13" t="s">
        <v>7</v>
      </c>
      <c r="E12" s="13" t="s">
        <v>7</v>
      </c>
      <c r="F12" s="13" t="s">
        <v>7</v>
      </c>
      <c r="G12" s="19"/>
      <c r="H12" s="10"/>
      <c r="I12" s="9">
        <f>COUNTIF(B12:F12,"R")-H12</f>
        <v>3</v>
      </c>
      <c r="J12" s="11">
        <f>COUNTIF(B12:G12,"P")-K12</f>
        <v>2</v>
      </c>
      <c r="K12" s="10"/>
      <c r="P12" s="15"/>
      <c r="Q12" s="16"/>
      <c r="R12" s="16"/>
      <c r="S12" s="15"/>
      <c r="T12" s="4"/>
    </row>
    <row r="13" spans="1:20" x14ac:dyDescent="0.25">
      <c r="A13" s="3">
        <v>46031</v>
      </c>
      <c r="B13" s="13" t="s">
        <v>8</v>
      </c>
      <c r="C13" s="13" t="s">
        <v>8</v>
      </c>
      <c r="D13" s="13" t="s">
        <v>7</v>
      </c>
      <c r="E13" s="13" t="s">
        <v>7</v>
      </c>
      <c r="F13" s="13" t="s">
        <v>7</v>
      </c>
      <c r="G13" s="19"/>
      <c r="H13" s="10"/>
      <c r="I13" s="9">
        <f t="shared" si="1"/>
        <v>3</v>
      </c>
      <c r="J13" s="11">
        <f t="shared" si="0"/>
        <v>2</v>
      </c>
      <c r="K13" s="10"/>
      <c r="P13" s="15"/>
      <c r="Q13" s="16"/>
      <c r="R13" s="15"/>
      <c r="S13" s="16"/>
      <c r="T13" s="4"/>
    </row>
    <row r="14" spans="1:20" x14ac:dyDescent="0.25">
      <c r="A14" s="3">
        <v>46032</v>
      </c>
      <c r="B14" s="17"/>
      <c r="C14" s="17"/>
      <c r="D14" s="17"/>
      <c r="E14" s="17"/>
      <c r="F14" s="17"/>
      <c r="G14" s="18"/>
      <c r="H14" s="10"/>
      <c r="I14" s="9">
        <f t="shared" si="1"/>
        <v>0</v>
      </c>
      <c r="J14" s="11">
        <f t="shared" si="0"/>
        <v>0</v>
      </c>
      <c r="K14" s="10"/>
      <c r="P14" s="16"/>
      <c r="Q14" s="15"/>
      <c r="R14" s="16"/>
      <c r="S14" s="15"/>
      <c r="T14" s="4"/>
    </row>
    <row r="15" spans="1:20" x14ac:dyDescent="0.25">
      <c r="A15" s="3">
        <v>46033</v>
      </c>
      <c r="B15" s="17"/>
      <c r="C15" s="17"/>
      <c r="D15" s="17"/>
      <c r="E15" s="17"/>
      <c r="F15" s="17"/>
      <c r="G15" s="18"/>
      <c r="H15" s="10"/>
      <c r="I15" s="9">
        <f t="shared" si="1"/>
        <v>0</v>
      </c>
      <c r="J15" s="11">
        <f t="shared" si="0"/>
        <v>0</v>
      </c>
      <c r="K15" s="10"/>
      <c r="P15" s="24" t="s">
        <v>9</v>
      </c>
      <c r="Q15" s="24"/>
      <c r="R15" s="24"/>
      <c r="S15" s="24"/>
      <c r="T15" s="24"/>
    </row>
    <row r="16" spans="1:20" x14ac:dyDescent="0.25">
      <c r="A16" s="3">
        <v>46034</v>
      </c>
      <c r="B16" s="13" t="s">
        <v>7</v>
      </c>
      <c r="C16" s="13" t="s">
        <v>8</v>
      </c>
      <c r="D16" s="13" t="s">
        <v>7</v>
      </c>
      <c r="E16" s="13" t="s">
        <v>8</v>
      </c>
      <c r="F16" s="13" t="s">
        <v>7</v>
      </c>
      <c r="G16" s="19"/>
      <c r="H16" s="10"/>
      <c r="I16" s="9">
        <f t="shared" si="1"/>
        <v>3</v>
      </c>
      <c r="J16" s="11">
        <f t="shared" si="0"/>
        <v>2</v>
      </c>
      <c r="K16" s="10"/>
      <c r="P16" s="15"/>
      <c r="Q16" s="16"/>
      <c r="R16" s="15"/>
      <c r="S16" s="16"/>
      <c r="T16" s="4"/>
    </row>
    <row r="17" spans="1:20" x14ac:dyDescent="0.25">
      <c r="A17" s="3">
        <v>46035</v>
      </c>
      <c r="B17" s="13" t="s">
        <v>7</v>
      </c>
      <c r="C17" s="13" t="s">
        <v>8</v>
      </c>
      <c r="D17" s="13" t="s">
        <v>7</v>
      </c>
      <c r="E17" s="13" t="s">
        <v>8</v>
      </c>
      <c r="F17" s="13" t="s">
        <v>7</v>
      </c>
      <c r="G17" s="19"/>
      <c r="H17" s="10"/>
      <c r="I17" s="9">
        <f t="shared" si="1"/>
        <v>3</v>
      </c>
      <c r="J17" s="11">
        <f t="shared" si="0"/>
        <v>2</v>
      </c>
      <c r="K17" s="10"/>
      <c r="P17" s="16"/>
      <c r="Q17" s="15"/>
      <c r="R17" s="16"/>
      <c r="S17" s="15"/>
      <c r="T17" s="4"/>
    </row>
    <row r="18" spans="1:20" x14ac:dyDescent="0.25">
      <c r="A18" s="3">
        <v>46036</v>
      </c>
      <c r="B18" s="13" t="s">
        <v>7</v>
      </c>
      <c r="C18" s="13" t="s">
        <v>8</v>
      </c>
      <c r="D18" s="13" t="s">
        <v>7</v>
      </c>
      <c r="E18" s="13" t="s">
        <v>8</v>
      </c>
      <c r="F18" s="13" t="s">
        <v>7</v>
      </c>
      <c r="G18" s="19"/>
      <c r="H18" s="10"/>
      <c r="I18" s="9">
        <f t="shared" si="1"/>
        <v>3</v>
      </c>
      <c r="J18" s="11">
        <f t="shared" si="0"/>
        <v>2</v>
      </c>
      <c r="K18" s="10"/>
      <c r="P18" s="15"/>
      <c r="Q18" s="16"/>
      <c r="R18" s="15"/>
      <c r="S18" s="16"/>
      <c r="T18" s="4"/>
    </row>
    <row r="19" spans="1:20" x14ac:dyDescent="0.25">
      <c r="A19" s="3">
        <v>46037</v>
      </c>
      <c r="B19" s="13" t="s">
        <v>7</v>
      </c>
      <c r="C19" s="13" t="s">
        <v>8</v>
      </c>
      <c r="D19" s="13" t="s">
        <v>7</v>
      </c>
      <c r="E19" s="13" t="s">
        <v>8</v>
      </c>
      <c r="F19" s="13" t="s">
        <v>7</v>
      </c>
      <c r="G19" s="19"/>
      <c r="H19" s="10"/>
      <c r="I19" s="9">
        <f t="shared" si="1"/>
        <v>3</v>
      </c>
      <c r="J19" s="11">
        <f t="shared" si="0"/>
        <v>2</v>
      </c>
      <c r="K19" s="10"/>
      <c r="P19" s="15"/>
      <c r="Q19" s="15"/>
      <c r="R19" s="16"/>
      <c r="S19" s="16"/>
      <c r="T19" s="4"/>
    </row>
    <row r="20" spans="1:20" x14ac:dyDescent="0.25">
      <c r="A20" s="3">
        <v>46038</v>
      </c>
      <c r="B20" s="13" t="s">
        <v>7</v>
      </c>
      <c r="C20" s="13" t="s">
        <v>8</v>
      </c>
      <c r="D20" s="13" t="s">
        <v>7</v>
      </c>
      <c r="E20" s="13" t="s">
        <v>8</v>
      </c>
      <c r="F20" s="13" t="s">
        <v>7</v>
      </c>
      <c r="G20" s="19"/>
      <c r="H20" s="10"/>
      <c r="I20" s="9">
        <f t="shared" si="1"/>
        <v>3</v>
      </c>
      <c r="J20" s="11">
        <f t="shared" si="0"/>
        <v>2</v>
      </c>
      <c r="K20" s="10"/>
      <c r="P20" s="15"/>
      <c r="Q20" s="16"/>
      <c r="R20" s="16"/>
      <c r="S20" s="15"/>
      <c r="T20" s="4"/>
    </row>
    <row r="21" spans="1:20" x14ac:dyDescent="0.25">
      <c r="A21" s="3">
        <v>46039</v>
      </c>
      <c r="B21" s="17"/>
      <c r="C21" s="17"/>
      <c r="D21" s="17"/>
      <c r="E21" s="17"/>
      <c r="F21" s="17"/>
      <c r="G21" s="18"/>
      <c r="H21" s="10"/>
      <c r="I21" s="9">
        <f t="shared" si="1"/>
        <v>0</v>
      </c>
      <c r="J21" s="11">
        <f t="shared" si="0"/>
        <v>0</v>
      </c>
      <c r="K21" s="10"/>
    </row>
    <row r="22" spans="1:20" x14ac:dyDescent="0.25">
      <c r="A22" s="3">
        <v>46040</v>
      </c>
      <c r="B22" s="17"/>
      <c r="C22" s="17"/>
      <c r="D22" s="17"/>
      <c r="E22" s="17"/>
      <c r="F22" s="17"/>
      <c r="G22" s="18"/>
      <c r="H22" s="10"/>
      <c r="I22" s="9">
        <f t="shared" si="1"/>
        <v>0</v>
      </c>
      <c r="J22" s="11">
        <f t="shared" si="0"/>
        <v>0</v>
      </c>
      <c r="K22" s="10"/>
    </row>
    <row r="23" spans="1:20" x14ac:dyDescent="0.25">
      <c r="A23" s="3">
        <v>46041</v>
      </c>
      <c r="B23" s="13" t="s">
        <v>8</v>
      </c>
      <c r="C23" s="13" t="s">
        <v>7</v>
      </c>
      <c r="D23" s="13" t="s">
        <v>7</v>
      </c>
      <c r="E23" s="13" t="s">
        <v>7</v>
      </c>
      <c r="F23" s="13" t="s">
        <v>8</v>
      </c>
      <c r="G23" s="19"/>
      <c r="H23" s="10"/>
      <c r="I23" s="9">
        <f>COUNTIF(B23:F23,"R")-H23</f>
        <v>3</v>
      </c>
      <c r="J23" s="11">
        <f t="shared" si="0"/>
        <v>2</v>
      </c>
      <c r="K23" s="10"/>
    </row>
    <row r="24" spans="1:20" x14ac:dyDescent="0.25">
      <c r="A24" s="3">
        <v>46042</v>
      </c>
      <c r="B24" s="13" t="s">
        <v>8</v>
      </c>
      <c r="C24" s="13" t="s">
        <v>7</v>
      </c>
      <c r="D24" s="13" t="s">
        <v>7</v>
      </c>
      <c r="E24" s="13" t="s">
        <v>7</v>
      </c>
      <c r="F24" s="13" t="s">
        <v>8</v>
      </c>
      <c r="G24" s="19"/>
      <c r="H24" s="10"/>
      <c r="I24" s="9">
        <f t="shared" si="1"/>
        <v>3</v>
      </c>
      <c r="J24" s="11">
        <f t="shared" si="0"/>
        <v>2</v>
      </c>
      <c r="K24" s="10"/>
    </row>
    <row r="25" spans="1:20" x14ac:dyDescent="0.25">
      <c r="A25" s="3">
        <v>46043</v>
      </c>
      <c r="B25" s="13" t="s">
        <v>8</v>
      </c>
      <c r="C25" s="13" t="s">
        <v>7</v>
      </c>
      <c r="D25" s="13" t="s">
        <v>7</v>
      </c>
      <c r="E25" s="13" t="s">
        <v>7</v>
      </c>
      <c r="F25" s="13" t="s">
        <v>8</v>
      </c>
      <c r="G25" s="19"/>
      <c r="H25" s="10"/>
      <c r="I25" s="9">
        <f t="shared" si="1"/>
        <v>3</v>
      </c>
      <c r="J25" s="11">
        <f t="shared" si="0"/>
        <v>2</v>
      </c>
      <c r="K25" s="10"/>
    </row>
    <row r="26" spans="1:20" x14ac:dyDescent="0.25">
      <c r="A26" s="3">
        <v>46044</v>
      </c>
      <c r="B26" s="13" t="s">
        <v>8</v>
      </c>
      <c r="C26" s="13" t="s">
        <v>7</v>
      </c>
      <c r="D26" s="13" t="s">
        <v>7</v>
      </c>
      <c r="E26" s="13" t="s">
        <v>7</v>
      </c>
      <c r="F26" s="13" t="s">
        <v>8</v>
      </c>
      <c r="G26" s="19"/>
      <c r="H26" s="10"/>
      <c r="I26" s="9">
        <f t="shared" si="1"/>
        <v>3</v>
      </c>
      <c r="J26" s="11">
        <f t="shared" si="0"/>
        <v>2</v>
      </c>
      <c r="K26" s="10"/>
    </row>
    <row r="27" spans="1:20" x14ac:dyDescent="0.25">
      <c r="A27" s="3">
        <v>46045</v>
      </c>
      <c r="B27" s="13" t="s">
        <v>8</v>
      </c>
      <c r="C27" s="13" t="s">
        <v>7</v>
      </c>
      <c r="D27" s="13" t="s">
        <v>7</v>
      </c>
      <c r="E27" s="13" t="s">
        <v>7</v>
      </c>
      <c r="F27" s="13" t="s">
        <v>8</v>
      </c>
      <c r="G27" s="19"/>
      <c r="H27" s="10"/>
      <c r="I27" s="9">
        <f t="shared" si="1"/>
        <v>3</v>
      </c>
      <c r="J27" s="11">
        <f t="shared" si="0"/>
        <v>2</v>
      </c>
      <c r="K27" s="10"/>
    </row>
    <row r="28" spans="1:20" x14ac:dyDescent="0.25">
      <c r="A28" s="3">
        <v>46046</v>
      </c>
      <c r="B28" s="17"/>
      <c r="C28" s="17"/>
      <c r="D28" s="17"/>
      <c r="E28" s="17"/>
      <c r="F28" s="17"/>
      <c r="G28" s="18"/>
      <c r="H28" s="10"/>
      <c r="I28" s="9">
        <f t="shared" si="1"/>
        <v>0</v>
      </c>
      <c r="J28" s="11">
        <f t="shared" si="0"/>
        <v>0</v>
      </c>
      <c r="K28" s="10"/>
    </row>
    <row r="29" spans="1:20" x14ac:dyDescent="0.25">
      <c r="A29" s="3">
        <v>46047</v>
      </c>
      <c r="B29" s="17"/>
      <c r="C29" s="17"/>
      <c r="D29" s="17"/>
      <c r="E29" s="17"/>
      <c r="F29" s="17"/>
      <c r="G29" s="18"/>
      <c r="H29" s="10"/>
      <c r="I29" s="9">
        <f t="shared" si="1"/>
        <v>0</v>
      </c>
      <c r="J29" s="11">
        <f t="shared" si="0"/>
        <v>0</v>
      </c>
      <c r="K29" s="10"/>
    </row>
    <row r="30" spans="1:20" x14ac:dyDescent="0.25">
      <c r="A30" s="3">
        <v>46048</v>
      </c>
      <c r="B30" s="13" t="s">
        <v>7</v>
      </c>
      <c r="C30" s="13" t="s">
        <v>8</v>
      </c>
      <c r="D30" s="13" t="s">
        <v>7</v>
      </c>
      <c r="E30" s="13" t="s">
        <v>8</v>
      </c>
      <c r="F30" s="13" t="s">
        <v>7</v>
      </c>
      <c r="G30" s="19"/>
      <c r="H30" s="10"/>
      <c r="I30" s="9">
        <f t="shared" si="1"/>
        <v>3</v>
      </c>
      <c r="J30" s="11">
        <f t="shared" si="0"/>
        <v>2</v>
      </c>
      <c r="K30" s="10"/>
    </row>
    <row r="31" spans="1:20" x14ac:dyDescent="0.25">
      <c r="A31" s="3">
        <v>46049</v>
      </c>
      <c r="B31" s="13" t="s">
        <v>7</v>
      </c>
      <c r="C31" s="13" t="s">
        <v>8</v>
      </c>
      <c r="D31" s="13" t="s">
        <v>7</v>
      </c>
      <c r="E31" s="13" t="s">
        <v>8</v>
      </c>
      <c r="F31" s="13" t="s">
        <v>7</v>
      </c>
      <c r="G31" s="19"/>
      <c r="H31" s="10"/>
      <c r="I31" s="9">
        <f t="shared" si="1"/>
        <v>3</v>
      </c>
      <c r="J31" s="11">
        <f t="shared" si="0"/>
        <v>2</v>
      </c>
      <c r="K31" s="10"/>
    </row>
    <row r="32" spans="1:20" x14ac:dyDescent="0.25">
      <c r="A32" s="3">
        <v>46050</v>
      </c>
      <c r="B32" s="13" t="s">
        <v>7</v>
      </c>
      <c r="C32" s="13" t="s">
        <v>8</v>
      </c>
      <c r="D32" s="13" t="s">
        <v>7</v>
      </c>
      <c r="E32" s="13" t="s">
        <v>8</v>
      </c>
      <c r="F32" s="13" t="s">
        <v>7</v>
      </c>
      <c r="G32" s="19"/>
      <c r="H32" s="10"/>
      <c r="I32" s="9">
        <f t="shared" si="1"/>
        <v>3</v>
      </c>
      <c r="J32" s="11">
        <f t="shared" si="0"/>
        <v>2</v>
      </c>
      <c r="K32" s="10"/>
    </row>
    <row r="33" spans="1:11" x14ac:dyDescent="0.25">
      <c r="A33" s="3">
        <v>46051</v>
      </c>
      <c r="B33" s="13" t="s">
        <v>7</v>
      </c>
      <c r="C33" s="13" t="s">
        <v>8</v>
      </c>
      <c r="D33" s="13" t="s">
        <v>7</v>
      </c>
      <c r="E33" s="13" t="s">
        <v>8</v>
      </c>
      <c r="F33" s="13" t="s">
        <v>7</v>
      </c>
      <c r="G33" s="19"/>
      <c r="H33" s="10"/>
      <c r="I33" s="9">
        <f t="shared" si="1"/>
        <v>3</v>
      </c>
      <c r="J33" s="11">
        <f t="shared" si="0"/>
        <v>2</v>
      </c>
      <c r="K33" s="10"/>
    </row>
    <row r="34" spans="1:11" x14ac:dyDescent="0.25">
      <c r="A34" s="3">
        <v>46052</v>
      </c>
      <c r="B34" s="13" t="s">
        <v>7</v>
      </c>
      <c r="C34" s="13" t="s">
        <v>8</v>
      </c>
      <c r="D34" s="13" t="s">
        <v>7</v>
      </c>
      <c r="E34" s="13" t="s">
        <v>8</v>
      </c>
      <c r="F34" s="13" t="s">
        <v>7</v>
      </c>
      <c r="G34" s="19"/>
      <c r="H34" s="10"/>
      <c r="I34" s="9">
        <f t="shared" si="1"/>
        <v>3</v>
      </c>
      <c r="J34" s="11">
        <f t="shared" si="0"/>
        <v>2</v>
      </c>
      <c r="K34" s="10"/>
    </row>
    <row r="35" spans="1:11" x14ac:dyDescent="0.25">
      <c r="A35" s="3">
        <v>46053</v>
      </c>
      <c r="B35" s="17"/>
      <c r="C35" s="17"/>
      <c r="D35" s="17"/>
      <c r="E35" s="17"/>
      <c r="F35" s="17"/>
      <c r="G35" s="18"/>
      <c r="H35" s="10"/>
      <c r="I35" s="9">
        <f t="shared" si="1"/>
        <v>0</v>
      </c>
      <c r="J35" s="11">
        <f t="shared" si="0"/>
        <v>0</v>
      </c>
      <c r="K35" s="10"/>
    </row>
    <row r="36" spans="1:11" x14ac:dyDescent="0.25">
      <c r="A36" s="6" t="s">
        <v>8</v>
      </c>
      <c r="B36" s="6">
        <f>COUNTIF(B5:B35,"P")</f>
        <v>9</v>
      </c>
      <c r="C36" s="6">
        <f t="shared" ref="C36:F36" si="2">COUNTIF(C5:C35,"P")</f>
        <v>13</v>
      </c>
      <c r="D36" s="6">
        <f t="shared" si="2"/>
        <v>0</v>
      </c>
      <c r="E36" s="6">
        <f t="shared" si="2"/>
        <v>10</v>
      </c>
      <c r="F36" s="6">
        <f t="shared" si="2"/>
        <v>6</v>
      </c>
    </row>
    <row r="37" spans="1:11" ht="15.75" thickBot="1" x14ac:dyDescent="0.3">
      <c r="A37" s="7" t="s">
        <v>7</v>
      </c>
      <c r="B37" s="6">
        <f>COUNTIF(B5:B35,"R")</f>
        <v>11</v>
      </c>
      <c r="C37" s="6">
        <f t="shared" ref="C37:F37" si="3">COUNTIF(C5:C35,"R")</f>
        <v>5</v>
      </c>
      <c r="D37" s="6">
        <f t="shared" si="3"/>
        <v>18</v>
      </c>
      <c r="E37" s="6">
        <f t="shared" si="3"/>
        <v>8</v>
      </c>
      <c r="F37" s="6">
        <f t="shared" si="3"/>
        <v>14</v>
      </c>
    </row>
    <row r="38" spans="1:11" ht="15.75" thickBot="1" x14ac:dyDescent="0.3">
      <c r="A38" s="21" t="s">
        <v>10</v>
      </c>
      <c r="B38" s="22"/>
      <c r="C38" s="22"/>
      <c r="D38" s="22"/>
      <c r="E38" s="22"/>
      <c r="F38" s="22"/>
      <c r="G38" s="22"/>
      <c r="H38" s="23"/>
      <c r="I38" s="2" t="s">
        <v>7</v>
      </c>
      <c r="J38" s="1" t="s">
        <v>8</v>
      </c>
      <c r="K38" s="6"/>
    </row>
    <row r="39" spans="1:11" x14ac:dyDescent="0.25">
      <c r="A39" s="3">
        <v>46054</v>
      </c>
      <c r="B39" s="17"/>
      <c r="C39" s="17"/>
      <c r="D39" s="17"/>
      <c r="E39" s="17"/>
      <c r="F39" s="17"/>
      <c r="G39" s="18"/>
      <c r="H39" s="12"/>
      <c r="I39" s="9">
        <f>COUNTIF(B39:F39,"R")-H39</f>
        <v>0</v>
      </c>
      <c r="J39" s="11">
        <f>COUNTIF(B39:G39,"P")-K39</f>
        <v>0</v>
      </c>
      <c r="K39" s="12"/>
    </row>
    <row r="40" spans="1:11" x14ac:dyDescent="0.25">
      <c r="A40" s="3">
        <v>46055</v>
      </c>
      <c r="B40" s="13" t="s">
        <v>8</v>
      </c>
      <c r="C40" s="13" t="s">
        <v>7</v>
      </c>
      <c r="D40" s="13" t="s">
        <v>8</v>
      </c>
      <c r="E40" s="13" t="s">
        <v>7</v>
      </c>
      <c r="F40" s="13"/>
      <c r="G40" s="19"/>
      <c r="H40" s="12"/>
      <c r="I40" s="9">
        <f>COUNTIF(B40:F40,"R")-H40</f>
        <v>2</v>
      </c>
      <c r="J40" s="11">
        <f t="shared" ref="J40:J45" si="4">COUNTIF(B40:G40,"P")-K40</f>
        <v>2</v>
      </c>
      <c r="K40" s="12"/>
    </row>
    <row r="41" spans="1:11" x14ac:dyDescent="0.25">
      <c r="A41" s="3">
        <v>46056</v>
      </c>
      <c r="B41" s="13" t="s">
        <v>8</v>
      </c>
      <c r="C41" s="13" t="s">
        <v>7</v>
      </c>
      <c r="D41" s="13" t="s">
        <v>8</v>
      </c>
      <c r="E41" s="13" t="s">
        <v>7</v>
      </c>
      <c r="F41" s="13"/>
      <c r="G41" s="19"/>
      <c r="H41" s="12"/>
      <c r="I41" s="9">
        <f t="shared" ref="I41:I45" si="5">COUNTIF(B41:F41,"R")-H41</f>
        <v>2</v>
      </c>
      <c r="J41" s="11">
        <f t="shared" si="4"/>
        <v>2</v>
      </c>
      <c r="K41" s="12"/>
    </row>
    <row r="42" spans="1:11" x14ac:dyDescent="0.25">
      <c r="A42" s="3">
        <v>46057</v>
      </c>
      <c r="B42" s="13" t="s">
        <v>8</v>
      </c>
      <c r="C42" s="13" t="s">
        <v>7</v>
      </c>
      <c r="D42" s="13" t="s">
        <v>8</v>
      </c>
      <c r="E42" s="13" t="s">
        <v>7</v>
      </c>
      <c r="F42" s="13"/>
      <c r="G42" s="19"/>
      <c r="H42" s="12"/>
      <c r="I42" s="9">
        <f t="shared" si="5"/>
        <v>2</v>
      </c>
      <c r="J42" s="11">
        <f t="shared" si="4"/>
        <v>2</v>
      </c>
      <c r="K42" s="12"/>
    </row>
    <row r="43" spans="1:11" x14ac:dyDescent="0.25">
      <c r="A43" s="3">
        <v>46058</v>
      </c>
      <c r="B43" s="13" t="s">
        <v>8</v>
      </c>
      <c r="C43" s="13" t="s">
        <v>7</v>
      </c>
      <c r="D43" s="13" t="s">
        <v>8</v>
      </c>
      <c r="E43" s="13" t="s">
        <v>7</v>
      </c>
      <c r="F43" s="13"/>
      <c r="G43" s="19"/>
      <c r="H43" s="12"/>
      <c r="I43" s="9">
        <f t="shared" si="5"/>
        <v>2</v>
      </c>
      <c r="J43" s="11">
        <f t="shared" si="4"/>
        <v>2</v>
      </c>
      <c r="K43" s="12"/>
    </row>
    <row r="44" spans="1:11" x14ac:dyDescent="0.25">
      <c r="A44" s="3">
        <v>46059</v>
      </c>
      <c r="B44" s="13" t="s">
        <v>8</v>
      </c>
      <c r="C44" s="13" t="s">
        <v>7</v>
      </c>
      <c r="D44" s="13" t="s">
        <v>7</v>
      </c>
      <c r="E44" s="13" t="s">
        <v>8</v>
      </c>
      <c r="F44" s="13"/>
      <c r="G44" s="19"/>
      <c r="H44" s="10"/>
      <c r="I44" s="9">
        <f t="shared" si="5"/>
        <v>2</v>
      </c>
      <c r="J44" s="11">
        <f t="shared" si="4"/>
        <v>2</v>
      </c>
      <c r="K44" s="10"/>
    </row>
    <row r="45" spans="1:11" x14ac:dyDescent="0.25">
      <c r="A45" s="3">
        <v>46060</v>
      </c>
      <c r="B45" s="17"/>
      <c r="C45" s="17"/>
      <c r="D45" s="17"/>
      <c r="E45" s="17"/>
      <c r="F45" s="17"/>
      <c r="G45" s="18"/>
      <c r="H45" s="10"/>
      <c r="I45" s="9">
        <f t="shared" si="5"/>
        <v>0</v>
      </c>
      <c r="J45" s="11">
        <f t="shared" si="4"/>
        <v>0</v>
      </c>
      <c r="K45" s="10"/>
    </row>
    <row r="46" spans="1:11" x14ac:dyDescent="0.25">
      <c r="A46" s="3">
        <v>46061</v>
      </c>
      <c r="B46" s="17"/>
      <c r="C46" s="17"/>
      <c r="D46" s="17"/>
      <c r="E46" s="17"/>
      <c r="F46" s="17"/>
      <c r="G46" s="18"/>
      <c r="H46" s="10"/>
      <c r="I46" s="9">
        <f>COUNTIF(B46:F46,"R")-H46</f>
        <v>0</v>
      </c>
      <c r="J46" s="11">
        <f>COUNTIF(B46:G46,"P")-K46</f>
        <v>0</v>
      </c>
      <c r="K46" s="10"/>
    </row>
    <row r="47" spans="1:11" x14ac:dyDescent="0.25">
      <c r="A47" s="3">
        <v>46062</v>
      </c>
      <c r="B47" s="13" t="s">
        <v>7</v>
      </c>
      <c r="C47" s="13" t="s">
        <v>8</v>
      </c>
      <c r="D47" s="13" t="s">
        <v>8</v>
      </c>
      <c r="E47" s="13" t="s">
        <v>7</v>
      </c>
      <c r="F47" s="13"/>
      <c r="G47" s="19"/>
      <c r="H47" s="10"/>
      <c r="I47" s="9">
        <f t="shared" ref="I47:I56" si="6">COUNTIF(B47:F47,"R")-H47</f>
        <v>2</v>
      </c>
      <c r="J47" s="11">
        <f t="shared" ref="J47:J66" si="7">COUNTIF(B47:G47,"P")-K47</f>
        <v>2</v>
      </c>
      <c r="K47" s="10"/>
    </row>
    <row r="48" spans="1:11" x14ac:dyDescent="0.25">
      <c r="A48" s="3">
        <v>46063</v>
      </c>
      <c r="B48" s="13" t="s">
        <v>7</v>
      </c>
      <c r="C48" s="13" t="s">
        <v>8</v>
      </c>
      <c r="D48" s="13" t="s">
        <v>8</v>
      </c>
      <c r="E48" s="13" t="s">
        <v>7</v>
      </c>
      <c r="F48" s="13"/>
      <c r="G48" s="19"/>
      <c r="H48" s="10"/>
      <c r="I48" s="9">
        <f t="shared" si="6"/>
        <v>2</v>
      </c>
      <c r="J48" s="11">
        <f t="shared" si="7"/>
        <v>2</v>
      </c>
      <c r="K48" s="10"/>
    </row>
    <row r="49" spans="1:11" x14ac:dyDescent="0.25">
      <c r="A49" s="3">
        <v>46064</v>
      </c>
      <c r="B49" s="13" t="s">
        <v>7</v>
      </c>
      <c r="C49" s="13" t="s">
        <v>8</v>
      </c>
      <c r="D49" s="13" t="s">
        <v>8</v>
      </c>
      <c r="E49" s="13" t="s">
        <v>7</v>
      </c>
      <c r="F49" s="13"/>
      <c r="G49" s="19"/>
      <c r="H49" s="10"/>
      <c r="I49" s="9">
        <f t="shared" si="6"/>
        <v>2</v>
      </c>
      <c r="J49" s="11">
        <f t="shared" si="7"/>
        <v>2</v>
      </c>
      <c r="K49" s="10"/>
    </row>
    <row r="50" spans="1:11" x14ac:dyDescent="0.25">
      <c r="A50" s="3">
        <v>46065</v>
      </c>
      <c r="B50" s="13" t="s">
        <v>7</v>
      </c>
      <c r="C50" s="13" t="s">
        <v>8</v>
      </c>
      <c r="D50" s="13" t="s">
        <v>8</v>
      </c>
      <c r="E50" s="13" t="s">
        <v>7</v>
      </c>
      <c r="F50" s="13"/>
      <c r="G50" s="19"/>
      <c r="H50" s="10"/>
      <c r="I50" s="9">
        <f t="shared" si="6"/>
        <v>2</v>
      </c>
      <c r="J50" s="11">
        <f t="shared" si="7"/>
        <v>2</v>
      </c>
      <c r="K50" s="10"/>
    </row>
    <row r="51" spans="1:11" x14ac:dyDescent="0.25">
      <c r="A51" s="3">
        <v>46066</v>
      </c>
      <c r="B51" s="13" t="s">
        <v>7</v>
      </c>
      <c r="C51" s="13" t="s">
        <v>8</v>
      </c>
      <c r="D51" s="13" t="s">
        <v>8</v>
      </c>
      <c r="E51" s="13" t="s">
        <v>7</v>
      </c>
      <c r="F51" s="13"/>
      <c r="G51" s="19"/>
      <c r="H51" s="10"/>
      <c r="I51" s="9">
        <f t="shared" si="6"/>
        <v>2</v>
      </c>
      <c r="J51" s="11">
        <f t="shared" si="7"/>
        <v>2</v>
      </c>
      <c r="K51" s="10"/>
    </row>
    <row r="52" spans="1:11" x14ac:dyDescent="0.25">
      <c r="A52" s="3">
        <v>46067</v>
      </c>
      <c r="B52" s="17"/>
      <c r="C52" s="17"/>
      <c r="D52" s="17"/>
      <c r="E52" s="17"/>
      <c r="F52" s="17"/>
      <c r="G52" s="18"/>
      <c r="H52" s="10"/>
      <c r="I52" s="9">
        <f t="shared" si="6"/>
        <v>0</v>
      </c>
      <c r="J52" s="11">
        <f t="shared" si="7"/>
        <v>0</v>
      </c>
      <c r="K52" s="10"/>
    </row>
    <row r="53" spans="1:11" x14ac:dyDescent="0.25">
      <c r="A53" s="3">
        <v>46068</v>
      </c>
      <c r="B53" s="17"/>
      <c r="C53" s="17"/>
      <c r="D53" s="17"/>
      <c r="E53" s="17"/>
      <c r="F53" s="17"/>
      <c r="G53" s="18"/>
      <c r="H53" s="10"/>
      <c r="I53" s="9">
        <f t="shared" si="6"/>
        <v>0</v>
      </c>
      <c r="J53" s="11">
        <f t="shared" si="7"/>
        <v>0</v>
      </c>
      <c r="K53" s="10"/>
    </row>
    <row r="54" spans="1:11" x14ac:dyDescent="0.25">
      <c r="A54" s="3">
        <v>46069</v>
      </c>
      <c r="B54" s="13" t="s">
        <v>7</v>
      </c>
      <c r="C54" s="13" t="s">
        <v>8</v>
      </c>
      <c r="D54" s="13" t="s">
        <v>7</v>
      </c>
      <c r="E54" s="13" t="s">
        <v>8</v>
      </c>
      <c r="F54" s="13"/>
      <c r="G54" s="19"/>
      <c r="H54" s="10"/>
      <c r="I54" s="9">
        <f t="shared" si="6"/>
        <v>2</v>
      </c>
      <c r="J54" s="11">
        <f t="shared" si="7"/>
        <v>2</v>
      </c>
      <c r="K54" s="10"/>
    </row>
    <row r="55" spans="1:11" x14ac:dyDescent="0.25">
      <c r="A55" s="3">
        <v>46070</v>
      </c>
      <c r="B55" s="13" t="s">
        <v>7</v>
      </c>
      <c r="C55" s="13" t="s">
        <v>8</v>
      </c>
      <c r="D55" s="13" t="s">
        <v>7</v>
      </c>
      <c r="E55" s="13" t="s">
        <v>8</v>
      </c>
      <c r="F55" s="13"/>
      <c r="G55" s="19"/>
      <c r="H55" s="10"/>
      <c r="I55" s="9">
        <f t="shared" si="6"/>
        <v>2</v>
      </c>
      <c r="J55" s="11">
        <f t="shared" si="7"/>
        <v>2</v>
      </c>
      <c r="K55" s="10"/>
    </row>
    <row r="56" spans="1:11" x14ac:dyDescent="0.25">
      <c r="A56" s="3">
        <v>46071</v>
      </c>
      <c r="B56" s="13" t="s">
        <v>7</v>
      </c>
      <c r="C56" s="13" t="s">
        <v>8</v>
      </c>
      <c r="D56" s="13" t="s">
        <v>7</v>
      </c>
      <c r="E56" s="13" t="s">
        <v>8</v>
      </c>
      <c r="F56" s="13"/>
      <c r="G56" s="19"/>
      <c r="H56" s="10"/>
      <c r="I56" s="9">
        <f t="shared" si="6"/>
        <v>2</v>
      </c>
      <c r="J56" s="11">
        <f t="shared" si="7"/>
        <v>2</v>
      </c>
      <c r="K56" s="10"/>
    </row>
    <row r="57" spans="1:11" x14ac:dyDescent="0.25">
      <c r="A57" s="3">
        <v>46072</v>
      </c>
      <c r="B57" s="13" t="s">
        <v>7</v>
      </c>
      <c r="C57" s="13" t="s">
        <v>8</v>
      </c>
      <c r="D57" s="13" t="s">
        <v>7</v>
      </c>
      <c r="E57" s="13" t="s">
        <v>8</v>
      </c>
      <c r="F57" s="13"/>
      <c r="G57" s="19"/>
      <c r="H57" s="10"/>
      <c r="I57" s="9">
        <f>COUNTIF(B57:F57,"R")-H57</f>
        <v>2</v>
      </c>
      <c r="J57" s="11">
        <f t="shared" si="7"/>
        <v>2</v>
      </c>
      <c r="K57" s="10"/>
    </row>
    <row r="58" spans="1:11" x14ac:dyDescent="0.25">
      <c r="A58" s="3">
        <v>46073</v>
      </c>
      <c r="B58" s="13" t="s">
        <v>7</v>
      </c>
      <c r="C58" s="13" t="s">
        <v>8</v>
      </c>
      <c r="D58" s="13" t="s">
        <v>7</v>
      </c>
      <c r="E58" s="13" t="s">
        <v>8</v>
      </c>
      <c r="F58" s="13"/>
      <c r="G58" s="19"/>
      <c r="H58" s="10"/>
      <c r="I58" s="9">
        <f t="shared" ref="I58:I66" si="8">COUNTIF(B58:F58,"R")-H58</f>
        <v>2</v>
      </c>
      <c r="J58" s="11">
        <f t="shared" si="7"/>
        <v>2</v>
      </c>
      <c r="K58" s="10"/>
    </row>
    <row r="59" spans="1:11" x14ac:dyDescent="0.25">
      <c r="A59" s="3">
        <v>46074</v>
      </c>
      <c r="B59" s="17"/>
      <c r="C59" s="17"/>
      <c r="D59" s="17"/>
      <c r="E59" s="17"/>
      <c r="F59" s="17"/>
      <c r="G59" s="18"/>
      <c r="H59" s="10"/>
      <c r="I59" s="9">
        <f t="shared" si="8"/>
        <v>0</v>
      </c>
      <c r="J59" s="11">
        <f t="shared" si="7"/>
        <v>0</v>
      </c>
      <c r="K59" s="10"/>
    </row>
    <row r="60" spans="1:11" x14ac:dyDescent="0.25">
      <c r="A60" s="3">
        <v>46075</v>
      </c>
      <c r="B60" s="17"/>
      <c r="C60" s="17"/>
      <c r="D60" s="17"/>
      <c r="E60" s="17"/>
      <c r="F60" s="17"/>
      <c r="G60" s="18"/>
      <c r="H60" s="10"/>
      <c r="I60" s="9">
        <f t="shared" si="8"/>
        <v>0</v>
      </c>
      <c r="J60" s="11">
        <f t="shared" si="7"/>
        <v>0</v>
      </c>
      <c r="K60" s="10"/>
    </row>
    <row r="61" spans="1:11" x14ac:dyDescent="0.25">
      <c r="A61" s="3">
        <v>46076</v>
      </c>
      <c r="B61" s="13" t="s">
        <v>8</v>
      </c>
      <c r="C61" s="13" t="s">
        <v>7</v>
      </c>
      <c r="D61" s="13" t="s">
        <v>8</v>
      </c>
      <c r="E61" s="13" t="s">
        <v>7</v>
      </c>
      <c r="F61" s="13"/>
      <c r="G61" s="19"/>
      <c r="H61" s="10"/>
      <c r="I61" s="9">
        <f t="shared" si="8"/>
        <v>2</v>
      </c>
      <c r="J61" s="11">
        <f t="shared" si="7"/>
        <v>2</v>
      </c>
      <c r="K61" s="10"/>
    </row>
    <row r="62" spans="1:11" x14ac:dyDescent="0.25">
      <c r="A62" s="3">
        <v>46077</v>
      </c>
      <c r="B62" s="13" t="s">
        <v>8</v>
      </c>
      <c r="C62" s="13" t="s">
        <v>7</v>
      </c>
      <c r="D62" s="13" t="s">
        <v>8</v>
      </c>
      <c r="E62" s="13" t="s">
        <v>7</v>
      </c>
      <c r="F62" s="13"/>
      <c r="G62" s="19"/>
      <c r="H62" s="10"/>
      <c r="I62" s="9">
        <f t="shared" si="8"/>
        <v>2</v>
      </c>
      <c r="J62" s="11">
        <f t="shared" si="7"/>
        <v>2</v>
      </c>
      <c r="K62" s="10"/>
    </row>
    <row r="63" spans="1:11" x14ac:dyDescent="0.25">
      <c r="A63" s="3">
        <v>46078</v>
      </c>
      <c r="B63" s="13" t="s">
        <v>8</v>
      </c>
      <c r="C63" s="13" t="s">
        <v>7</v>
      </c>
      <c r="D63" s="13" t="s">
        <v>8</v>
      </c>
      <c r="E63" s="13" t="s">
        <v>7</v>
      </c>
      <c r="F63" s="13"/>
      <c r="G63" s="19"/>
      <c r="H63" s="10"/>
      <c r="I63" s="9">
        <f t="shared" si="8"/>
        <v>2</v>
      </c>
      <c r="J63" s="11">
        <f t="shared" si="7"/>
        <v>2</v>
      </c>
      <c r="K63" s="10"/>
    </row>
    <row r="64" spans="1:11" x14ac:dyDescent="0.25">
      <c r="A64" s="3">
        <v>46079</v>
      </c>
      <c r="B64" s="13" t="s">
        <v>8</v>
      </c>
      <c r="C64" s="13" t="s">
        <v>7</v>
      </c>
      <c r="D64" s="13" t="s">
        <v>8</v>
      </c>
      <c r="E64" s="13" t="s">
        <v>7</v>
      </c>
      <c r="F64" s="13"/>
      <c r="G64" s="19"/>
      <c r="H64" s="10"/>
      <c r="I64" s="9">
        <f t="shared" si="8"/>
        <v>2</v>
      </c>
      <c r="J64" s="11">
        <f t="shared" si="7"/>
        <v>2</v>
      </c>
      <c r="K64" s="10"/>
    </row>
    <row r="65" spans="1:11" x14ac:dyDescent="0.25">
      <c r="A65" s="3">
        <v>46080</v>
      </c>
      <c r="B65" s="13" t="s">
        <v>8</v>
      </c>
      <c r="C65" s="13" t="s">
        <v>7</v>
      </c>
      <c r="D65" s="13" t="s">
        <v>8</v>
      </c>
      <c r="E65" s="13" t="s">
        <v>7</v>
      </c>
      <c r="F65" s="13"/>
      <c r="G65" s="19"/>
      <c r="H65" s="10"/>
      <c r="I65" s="9">
        <f t="shared" si="8"/>
        <v>2</v>
      </c>
      <c r="J65" s="11">
        <f t="shared" si="7"/>
        <v>2</v>
      </c>
      <c r="K65" s="10"/>
    </row>
    <row r="66" spans="1:11" x14ac:dyDescent="0.25">
      <c r="A66" s="3">
        <v>46081</v>
      </c>
      <c r="B66" s="17"/>
      <c r="C66" s="17"/>
      <c r="D66" s="17"/>
      <c r="E66" s="17"/>
      <c r="F66" s="17"/>
      <c r="G66" s="18"/>
      <c r="H66" s="10"/>
      <c r="I66" s="9">
        <f t="shared" si="8"/>
        <v>0</v>
      </c>
      <c r="J66" s="11">
        <f t="shared" si="7"/>
        <v>0</v>
      </c>
      <c r="K66" s="10"/>
    </row>
    <row r="67" spans="1:11" x14ac:dyDescent="0.25">
      <c r="A67" s="6" t="s">
        <v>8</v>
      </c>
      <c r="B67" s="6">
        <f>COUNTIF(B39:B66,"P")</f>
        <v>10</v>
      </c>
      <c r="C67" s="6">
        <f t="shared" ref="C67:F67" si="9">COUNTIF(C39:C66,"P")</f>
        <v>10</v>
      </c>
      <c r="D67" s="6">
        <f t="shared" si="9"/>
        <v>14</v>
      </c>
      <c r="E67" s="6">
        <f t="shared" si="9"/>
        <v>6</v>
      </c>
      <c r="F67" s="6">
        <f t="shared" si="9"/>
        <v>0</v>
      </c>
    </row>
    <row r="68" spans="1:11" ht="15.75" thickBot="1" x14ac:dyDescent="0.3">
      <c r="A68" s="7" t="s">
        <v>7</v>
      </c>
      <c r="B68" s="6">
        <f>COUNTIF(B39:B66,"R")</f>
        <v>10</v>
      </c>
      <c r="C68" s="6">
        <f t="shared" ref="C68:F68" si="10">COUNTIF(C39:C66,"R")</f>
        <v>10</v>
      </c>
      <c r="D68" s="6">
        <f t="shared" si="10"/>
        <v>6</v>
      </c>
      <c r="E68" s="6">
        <f t="shared" si="10"/>
        <v>14</v>
      </c>
      <c r="F68" s="6">
        <f t="shared" si="10"/>
        <v>0</v>
      </c>
    </row>
    <row r="69" spans="1:11" ht="15.75" thickBot="1" x14ac:dyDescent="0.3">
      <c r="A69" s="21" t="s">
        <v>9</v>
      </c>
      <c r="B69" s="22"/>
      <c r="C69" s="22"/>
      <c r="D69" s="22"/>
      <c r="E69" s="22"/>
      <c r="F69" s="22"/>
      <c r="G69" s="22"/>
      <c r="H69" s="23"/>
      <c r="I69" s="2" t="s">
        <v>7</v>
      </c>
      <c r="J69" s="1" t="s">
        <v>8</v>
      </c>
      <c r="K69" s="6"/>
    </row>
    <row r="70" spans="1:11" x14ac:dyDescent="0.25">
      <c r="A70" s="3">
        <v>45717</v>
      </c>
      <c r="B70" s="17"/>
      <c r="C70" s="17"/>
      <c r="D70" s="17"/>
      <c r="E70" s="17"/>
      <c r="F70" s="17"/>
      <c r="G70" s="18"/>
      <c r="H70" s="12"/>
      <c r="I70" s="9">
        <f>COUNTIF(B70:F70,"R")-H70</f>
        <v>0</v>
      </c>
      <c r="J70" s="11">
        <f>COUNTIF(B70:G70,"P")-K70</f>
        <v>0</v>
      </c>
      <c r="K70" s="12"/>
    </row>
    <row r="71" spans="1:11" x14ac:dyDescent="0.25">
      <c r="A71" s="3">
        <v>45718</v>
      </c>
      <c r="B71" s="13" t="s">
        <v>7</v>
      </c>
      <c r="C71" s="13" t="s">
        <v>8</v>
      </c>
      <c r="D71" s="13" t="s">
        <v>7</v>
      </c>
      <c r="E71" s="13" t="s">
        <v>8</v>
      </c>
      <c r="F71" s="13"/>
      <c r="G71" s="19"/>
      <c r="H71" s="12"/>
      <c r="I71" s="9">
        <f>COUNTIF(B71:F71,"R")-H71</f>
        <v>2</v>
      </c>
      <c r="J71" s="11">
        <f t="shared" ref="J71:J76" si="11">COUNTIF(B71:G71,"P")-K71</f>
        <v>2</v>
      </c>
      <c r="K71" s="12"/>
    </row>
    <row r="72" spans="1:11" x14ac:dyDescent="0.25">
      <c r="A72" s="3">
        <v>45719</v>
      </c>
      <c r="B72" s="13" t="s">
        <v>7</v>
      </c>
      <c r="C72" s="13" t="s">
        <v>8</v>
      </c>
      <c r="D72" s="13" t="s">
        <v>7</v>
      </c>
      <c r="E72" s="13" t="s">
        <v>8</v>
      </c>
      <c r="F72" s="13"/>
      <c r="G72" s="19"/>
      <c r="H72" s="12"/>
      <c r="I72" s="9">
        <f t="shared" ref="I72:I76" si="12">COUNTIF(B72:F72,"R")-H72</f>
        <v>2</v>
      </c>
      <c r="J72" s="11">
        <f t="shared" si="11"/>
        <v>2</v>
      </c>
      <c r="K72" s="12"/>
    </row>
    <row r="73" spans="1:11" x14ac:dyDescent="0.25">
      <c r="A73" s="3">
        <v>45720</v>
      </c>
      <c r="B73" s="13" t="s">
        <v>7</v>
      </c>
      <c r="C73" s="13" t="s">
        <v>8</v>
      </c>
      <c r="D73" s="13" t="s">
        <v>7</v>
      </c>
      <c r="E73" s="13" t="s">
        <v>8</v>
      </c>
      <c r="F73" s="13"/>
      <c r="G73" s="19"/>
      <c r="H73" s="12"/>
      <c r="I73" s="9">
        <f t="shared" si="12"/>
        <v>2</v>
      </c>
      <c r="J73" s="11">
        <f t="shared" si="11"/>
        <v>2</v>
      </c>
      <c r="K73" s="12"/>
    </row>
    <row r="74" spans="1:11" x14ac:dyDescent="0.25">
      <c r="A74" s="3">
        <v>45721</v>
      </c>
      <c r="B74" s="13" t="s">
        <v>7</v>
      </c>
      <c r="C74" s="13" t="s">
        <v>8</v>
      </c>
      <c r="D74" s="13" t="s">
        <v>7</v>
      </c>
      <c r="E74" s="13" t="s">
        <v>8</v>
      </c>
      <c r="F74" s="13"/>
      <c r="G74" s="19"/>
      <c r="H74" s="12"/>
      <c r="I74" s="9">
        <f t="shared" si="12"/>
        <v>2</v>
      </c>
      <c r="J74" s="11">
        <f t="shared" si="11"/>
        <v>2</v>
      </c>
      <c r="K74" s="12"/>
    </row>
    <row r="75" spans="1:11" x14ac:dyDescent="0.25">
      <c r="A75" s="3">
        <v>45722</v>
      </c>
      <c r="B75" s="13" t="s">
        <v>7</v>
      </c>
      <c r="C75" s="13" t="s">
        <v>8</v>
      </c>
      <c r="D75" s="13" t="s">
        <v>7</v>
      </c>
      <c r="E75" s="13" t="s">
        <v>8</v>
      </c>
      <c r="F75" s="13"/>
      <c r="G75" s="19"/>
      <c r="H75" s="10"/>
      <c r="I75" s="9">
        <f t="shared" si="12"/>
        <v>2</v>
      </c>
      <c r="J75" s="11">
        <f t="shared" si="11"/>
        <v>2</v>
      </c>
      <c r="K75" s="10"/>
    </row>
    <row r="76" spans="1:11" x14ac:dyDescent="0.25">
      <c r="A76" s="3">
        <v>45723</v>
      </c>
      <c r="B76" s="17"/>
      <c r="C76" s="17"/>
      <c r="D76" s="17"/>
      <c r="E76" s="17"/>
      <c r="F76" s="17"/>
      <c r="G76" s="18"/>
      <c r="H76" s="10"/>
      <c r="I76" s="9">
        <f t="shared" si="12"/>
        <v>0</v>
      </c>
      <c r="J76" s="11">
        <f t="shared" si="11"/>
        <v>0</v>
      </c>
      <c r="K76" s="10"/>
    </row>
    <row r="77" spans="1:11" x14ac:dyDescent="0.25">
      <c r="A77" s="3">
        <v>45724</v>
      </c>
      <c r="B77" s="17"/>
      <c r="C77" s="17"/>
      <c r="D77" s="17"/>
      <c r="E77" s="17"/>
      <c r="F77" s="17"/>
      <c r="G77" s="18"/>
      <c r="H77" s="10"/>
      <c r="I77" s="9">
        <f>COUNTIF(B77:F77,"R")-H77</f>
        <v>0</v>
      </c>
      <c r="J77" s="11">
        <f>COUNTIF(B77:G77,"P")-K77</f>
        <v>0</v>
      </c>
      <c r="K77" s="10"/>
    </row>
    <row r="78" spans="1:11" x14ac:dyDescent="0.25">
      <c r="A78" s="3">
        <v>45725</v>
      </c>
      <c r="B78" s="13" t="s">
        <v>8</v>
      </c>
      <c r="C78" s="13" t="s">
        <v>7</v>
      </c>
      <c r="D78" s="13" t="s">
        <v>8</v>
      </c>
      <c r="E78" s="13" t="s">
        <v>7</v>
      </c>
      <c r="F78" s="13"/>
      <c r="G78" s="19"/>
      <c r="H78" s="10"/>
      <c r="I78" s="9">
        <f t="shared" ref="I78:I87" si="13">COUNTIF(B78:F78,"R")-H78</f>
        <v>2</v>
      </c>
      <c r="J78" s="11">
        <f t="shared" ref="J78:J100" si="14">COUNTIF(B78:G78,"P")-K78</f>
        <v>2</v>
      </c>
      <c r="K78" s="10"/>
    </row>
    <row r="79" spans="1:11" x14ac:dyDescent="0.25">
      <c r="A79" s="3">
        <v>45726</v>
      </c>
      <c r="B79" s="13" t="s">
        <v>8</v>
      </c>
      <c r="C79" s="13" t="s">
        <v>7</v>
      </c>
      <c r="D79" s="13" t="s">
        <v>8</v>
      </c>
      <c r="E79" s="13" t="s">
        <v>7</v>
      </c>
      <c r="F79" s="13"/>
      <c r="G79" s="19"/>
      <c r="H79" s="10"/>
      <c r="I79" s="9">
        <f t="shared" si="13"/>
        <v>2</v>
      </c>
      <c r="J79" s="11">
        <f t="shared" si="14"/>
        <v>2</v>
      </c>
      <c r="K79" s="10"/>
    </row>
    <row r="80" spans="1:11" x14ac:dyDescent="0.25">
      <c r="A80" s="3">
        <v>45727</v>
      </c>
      <c r="B80" s="13" t="s">
        <v>8</v>
      </c>
      <c r="C80" s="13" t="s">
        <v>7</v>
      </c>
      <c r="D80" s="13" t="s">
        <v>8</v>
      </c>
      <c r="E80" s="13" t="s">
        <v>7</v>
      </c>
      <c r="F80" s="13"/>
      <c r="G80" s="19"/>
      <c r="H80" s="10"/>
      <c r="I80" s="9">
        <f t="shared" si="13"/>
        <v>2</v>
      </c>
      <c r="J80" s="11">
        <f t="shared" si="14"/>
        <v>2</v>
      </c>
      <c r="K80" s="10"/>
    </row>
    <row r="81" spans="1:11" x14ac:dyDescent="0.25">
      <c r="A81" s="3">
        <v>45728</v>
      </c>
      <c r="B81" s="13" t="s">
        <v>8</v>
      </c>
      <c r="C81" s="13" t="s">
        <v>7</v>
      </c>
      <c r="D81" s="13" t="s">
        <v>8</v>
      </c>
      <c r="E81" s="13" t="s">
        <v>7</v>
      </c>
      <c r="F81" s="13"/>
      <c r="G81" s="19"/>
      <c r="H81" s="10"/>
      <c r="I81" s="9">
        <f t="shared" si="13"/>
        <v>2</v>
      </c>
      <c r="J81" s="11">
        <f t="shared" si="14"/>
        <v>2</v>
      </c>
      <c r="K81" s="10"/>
    </row>
    <row r="82" spans="1:11" x14ac:dyDescent="0.25">
      <c r="A82" s="3">
        <v>45729</v>
      </c>
      <c r="B82" s="13" t="s">
        <v>8</v>
      </c>
      <c r="C82" s="13" t="s">
        <v>7</v>
      </c>
      <c r="D82" s="13" t="s">
        <v>8</v>
      </c>
      <c r="E82" s="13" t="s">
        <v>7</v>
      </c>
      <c r="F82" s="13"/>
      <c r="G82" s="19"/>
      <c r="H82" s="10"/>
      <c r="I82" s="9">
        <f t="shared" si="13"/>
        <v>2</v>
      </c>
      <c r="J82" s="11">
        <f t="shared" si="14"/>
        <v>2</v>
      </c>
      <c r="K82" s="10"/>
    </row>
    <row r="83" spans="1:11" x14ac:dyDescent="0.25">
      <c r="A83" s="3">
        <v>45730</v>
      </c>
      <c r="B83" s="17"/>
      <c r="C83" s="17"/>
      <c r="D83" s="17"/>
      <c r="E83" s="17"/>
      <c r="F83" s="17"/>
      <c r="G83" s="18"/>
      <c r="H83" s="10"/>
      <c r="I83" s="9">
        <f t="shared" si="13"/>
        <v>0</v>
      </c>
      <c r="J83" s="11">
        <f t="shared" si="14"/>
        <v>0</v>
      </c>
      <c r="K83" s="10"/>
    </row>
    <row r="84" spans="1:11" x14ac:dyDescent="0.25">
      <c r="A84" s="3">
        <v>45731</v>
      </c>
      <c r="B84" s="17"/>
      <c r="C84" s="17"/>
      <c r="D84" s="17"/>
      <c r="E84" s="17"/>
      <c r="F84" s="17"/>
      <c r="G84" s="18"/>
      <c r="H84" s="10"/>
      <c r="I84" s="9">
        <f t="shared" si="13"/>
        <v>0</v>
      </c>
      <c r="J84" s="11">
        <f t="shared" si="14"/>
        <v>0</v>
      </c>
      <c r="K84" s="10"/>
    </row>
    <row r="85" spans="1:11" x14ac:dyDescent="0.25">
      <c r="A85" s="3">
        <v>45732</v>
      </c>
      <c r="B85" s="13" t="s">
        <v>7</v>
      </c>
      <c r="C85" s="13" t="s">
        <v>8</v>
      </c>
      <c r="D85" s="13" t="s">
        <v>7</v>
      </c>
      <c r="E85" s="13" t="s">
        <v>8</v>
      </c>
      <c r="F85" s="13"/>
      <c r="G85" s="19"/>
      <c r="H85" s="10"/>
      <c r="I85" s="9">
        <f t="shared" si="13"/>
        <v>2</v>
      </c>
      <c r="J85" s="11">
        <f t="shared" si="14"/>
        <v>2</v>
      </c>
      <c r="K85" s="10"/>
    </row>
    <row r="86" spans="1:11" x14ac:dyDescent="0.25">
      <c r="A86" s="3">
        <v>45733</v>
      </c>
      <c r="B86" s="13" t="s">
        <v>7</v>
      </c>
      <c r="C86" s="13" t="s">
        <v>8</v>
      </c>
      <c r="D86" s="13" t="s">
        <v>7</v>
      </c>
      <c r="E86" s="13" t="s">
        <v>8</v>
      </c>
      <c r="F86" s="13"/>
      <c r="G86" s="19"/>
      <c r="H86" s="10"/>
      <c r="I86" s="9">
        <f t="shared" si="13"/>
        <v>2</v>
      </c>
      <c r="J86" s="11">
        <f t="shared" si="14"/>
        <v>2</v>
      </c>
      <c r="K86" s="10"/>
    </row>
    <row r="87" spans="1:11" x14ac:dyDescent="0.25">
      <c r="A87" s="3">
        <v>45734</v>
      </c>
      <c r="B87" s="13" t="s">
        <v>7</v>
      </c>
      <c r="C87" s="13" t="s">
        <v>8</v>
      </c>
      <c r="D87" s="13" t="s">
        <v>7</v>
      </c>
      <c r="E87" s="13" t="s">
        <v>8</v>
      </c>
      <c r="F87" s="13"/>
      <c r="G87" s="19"/>
      <c r="H87" s="10"/>
      <c r="I87" s="9">
        <f t="shared" si="13"/>
        <v>2</v>
      </c>
      <c r="J87" s="11">
        <f t="shared" si="14"/>
        <v>2</v>
      </c>
      <c r="K87" s="10"/>
    </row>
    <row r="88" spans="1:11" x14ac:dyDescent="0.25">
      <c r="A88" s="3">
        <v>45735</v>
      </c>
      <c r="B88" s="13" t="s">
        <v>7</v>
      </c>
      <c r="C88" s="13" t="s">
        <v>8</v>
      </c>
      <c r="D88" s="13" t="s">
        <v>7</v>
      </c>
      <c r="E88" s="13" t="s">
        <v>8</v>
      </c>
      <c r="F88" s="13"/>
      <c r="G88" s="19"/>
      <c r="H88" s="10"/>
      <c r="I88" s="9">
        <f>COUNTIF(B88:F88,"R")-H88</f>
        <v>2</v>
      </c>
      <c r="J88" s="11">
        <f t="shared" si="14"/>
        <v>2</v>
      </c>
      <c r="K88" s="10"/>
    </row>
    <row r="89" spans="1:11" x14ac:dyDescent="0.25">
      <c r="A89" s="3">
        <v>45736</v>
      </c>
      <c r="B89" s="13" t="s">
        <v>7</v>
      </c>
      <c r="C89" s="13" t="s">
        <v>8</v>
      </c>
      <c r="D89" s="13" t="s">
        <v>7</v>
      </c>
      <c r="E89" s="13" t="s">
        <v>8</v>
      </c>
      <c r="F89" s="13"/>
      <c r="G89" s="19"/>
      <c r="H89" s="10"/>
      <c r="I89" s="9">
        <f t="shared" ref="I89:I100" si="15">COUNTIF(B89:F89,"R")-H89</f>
        <v>2</v>
      </c>
      <c r="J89" s="11">
        <f t="shared" si="14"/>
        <v>2</v>
      </c>
      <c r="K89" s="10"/>
    </row>
    <row r="90" spans="1:11" x14ac:dyDescent="0.25">
      <c r="A90" s="3">
        <v>45737</v>
      </c>
      <c r="B90" s="17"/>
      <c r="C90" s="17"/>
      <c r="D90" s="17"/>
      <c r="E90" s="17"/>
      <c r="F90" s="17"/>
      <c r="G90" s="18"/>
      <c r="H90" s="10"/>
      <c r="I90" s="9">
        <f t="shared" si="15"/>
        <v>0</v>
      </c>
      <c r="J90" s="11">
        <f t="shared" si="14"/>
        <v>0</v>
      </c>
      <c r="K90" s="10"/>
    </row>
    <row r="91" spans="1:11" x14ac:dyDescent="0.25">
      <c r="A91" s="3">
        <v>45738</v>
      </c>
      <c r="B91" s="17"/>
      <c r="C91" s="17"/>
      <c r="D91" s="17"/>
      <c r="E91" s="17"/>
      <c r="F91" s="17"/>
      <c r="G91" s="18"/>
      <c r="H91" s="10"/>
      <c r="I91" s="9">
        <f t="shared" si="15"/>
        <v>0</v>
      </c>
      <c r="J91" s="11">
        <f t="shared" si="14"/>
        <v>0</v>
      </c>
      <c r="K91" s="10"/>
    </row>
    <row r="92" spans="1:11" x14ac:dyDescent="0.25">
      <c r="A92" s="3">
        <v>45739</v>
      </c>
      <c r="B92" s="13" t="s">
        <v>7</v>
      </c>
      <c r="C92" s="13" t="s">
        <v>7</v>
      </c>
      <c r="D92" s="13" t="s">
        <v>8</v>
      </c>
      <c r="E92" s="13" t="s">
        <v>8</v>
      </c>
      <c r="F92" s="13"/>
      <c r="G92" s="19"/>
      <c r="H92" s="10"/>
      <c r="I92" s="9">
        <f t="shared" si="15"/>
        <v>2</v>
      </c>
      <c r="J92" s="11">
        <f t="shared" si="14"/>
        <v>2</v>
      </c>
      <c r="K92" s="10"/>
    </row>
    <row r="93" spans="1:11" x14ac:dyDescent="0.25">
      <c r="A93" s="3">
        <v>45740</v>
      </c>
      <c r="B93" s="13" t="s">
        <v>7</v>
      </c>
      <c r="C93" s="13" t="s">
        <v>7</v>
      </c>
      <c r="D93" s="13" t="s">
        <v>8</v>
      </c>
      <c r="E93" s="13" t="s">
        <v>8</v>
      </c>
      <c r="F93" s="13"/>
      <c r="G93" s="19"/>
      <c r="H93" s="10"/>
      <c r="I93" s="9">
        <f t="shared" si="15"/>
        <v>2</v>
      </c>
      <c r="J93" s="11">
        <f t="shared" si="14"/>
        <v>2</v>
      </c>
      <c r="K93" s="10"/>
    </row>
    <row r="94" spans="1:11" x14ac:dyDescent="0.25">
      <c r="A94" s="3">
        <v>45741</v>
      </c>
      <c r="B94" s="13" t="s">
        <v>7</v>
      </c>
      <c r="C94" s="13" t="s">
        <v>7</v>
      </c>
      <c r="D94" s="13" t="s">
        <v>8</v>
      </c>
      <c r="E94" s="13" t="s">
        <v>8</v>
      </c>
      <c r="F94" s="13"/>
      <c r="G94" s="19"/>
      <c r="H94" s="10"/>
      <c r="I94" s="9">
        <f t="shared" si="15"/>
        <v>2</v>
      </c>
      <c r="J94" s="11">
        <f t="shared" si="14"/>
        <v>2</v>
      </c>
      <c r="K94" s="10"/>
    </row>
    <row r="95" spans="1:11" x14ac:dyDescent="0.25">
      <c r="A95" s="3">
        <v>45742</v>
      </c>
      <c r="B95" s="13" t="s">
        <v>7</v>
      </c>
      <c r="C95" s="13" t="s">
        <v>7</v>
      </c>
      <c r="D95" s="13" t="s">
        <v>8</v>
      </c>
      <c r="E95" s="13" t="s">
        <v>8</v>
      </c>
      <c r="F95" s="13"/>
      <c r="G95" s="19"/>
      <c r="H95" s="10"/>
      <c r="I95" s="9">
        <f t="shared" si="15"/>
        <v>2</v>
      </c>
      <c r="J95" s="11">
        <f t="shared" si="14"/>
        <v>2</v>
      </c>
      <c r="K95" s="10"/>
    </row>
    <row r="96" spans="1:11" x14ac:dyDescent="0.25">
      <c r="A96" s="3">
        <v>45743</v>
      </c>
      <c r="B96" s="13" t="s">
        <v>7</v>
      </c>
      <c r="C96" s="13" t="s">
        <v>7</v>
      </c>
      <c r="D96" s="13" t="s">
        <v>8</v>
      </c>
      <c r="E96" s="13" t="s">
        <v>8</v>
      </c>
      <c r="F96" s="13"/>
      <c r="G96" s="19"/>
      <c r="H96" s="10"/>
      <c r="I96" s="9">
        <f t="shared" si="15"/>
        <v>2</v>
      </c>
      <c r="J96" s="11">
        <f t="shared" si="14"/>
        <v>2</v>
      </c>
      <c r="K96" s="10"/>
    </row>
    <row r="97" spans="1:11" x14ac:dyDescent="0.25">
      <c r="A97" s="3">
        <v>45744</v>
      </c>
      <c r="B97" s="17"/>
      <c r="C97" s="17"/>
      <c r="D97" s="17"/>
      <c r="E97" s="17"/>
      <c r="F97" s="17"/>
      <c r="G97" s="18"/>
      <c r="H97" s="10"/>
      <c r="I97" s="9">
        <f t="shared" si="15"/>
        <v>0</v>
      </c>
      <c r="J97" s="11">
        <f t="shared" si="14"/>
        <v>0</v>
      </c>
      <c r="K97" s="10"/>
    </row>
    <row r="98" spans="1:11" x14ac:dyDescent="0.25">
      <c r="A98" s="3">
        <v>45745</v>
      </c>
      <c r="B98" s="17"/>
      <c r="C98" s="17"/>
      <c r="D98" s="17"/>
      <c r="E98" s="17"/>
      <c r="F98" s="17"/>
      <c r="G98" s="18"/>
      <c r="H98" s="10"/>
      <c r="I98" s="9">
        <f t="shared" si="15"/>
        <v>0</v>
      </c>
      <c r="J98" s="11">
        <f t="shared" si="14"/>
        <v>0</v>
      </c>
      <c r="K98" s="10"/>
    </row>
    <row r="99" spans="1:11" x14ac:dyDescent="0.25">
      <c r="A99" s="3">
        <v>45746</v>
      </c>
      <c r="B99" s="13" t="s">
        <v>7</v>
      </c>
      <c r="C99" s="13" t="s">
        <v>8</v>
      </c>
      <c r="D99" s="13" t="s">
        <v>8</v>
      </c>
      <c r="E99" s="13" t="s">
        <v>7</v>
      </c>
      <c r="F99" s="13"/>
      <c r="G99" s="19"/>
      <c r="H99" s="10"/>
      <c r="I99" s="9">
        <f t="shared" si="15"/>
        <v>2</v>
      </c>
      <c r="J99" s="11">
        <f t="shared" si="14"/>
        <v>2</v>
      </c>
      <c r="K99" s="10"/>
    </row>
    <row r="100" spans="1:11" x14ac:dyDescent="0.25">
      <c r="A100" s="3">
        <v>45747</v>
      </c>
      <c r="B100" s="13" t="s">
        <v>7</v>
      </c>
      <c r="C100" s="13" t="s">
        <v>8</v>
      </c>
      <c r="D100" s="13" t="s">
        <v>8</v>
      </c>
      <c r="E100" s="13" t="s">
        <v>7</v>
      </c>
      <c r="F100" s="13"/>
      <c r="G100" s="19"/>
      <c r="H100" s="10"/>
      <c r="I100" s="9">
        <f t="shared" si="15"/>
        <v>2</v>
      </c>
      <c r="J100" s="11">
        <f t="shared" si="14"/>
        <v>2</v>
      </c>
      <c r="K100" s="10"/>
    </row>
    <row r="101" spans="1:11" x14ac:dyDescent="0.25">
      <c r="A101" s="6" t="s">
        <v>8</v>
      </c>
      <c r="B101" s="6">
        <f>COUNTIF(B70:B100,"P")</f>
        <v>5</v>
      </c>
      <c r="C101" s="6">
        <f t="shared" ref="C101:E101" si="16">COUNTIF(C70:C100,"P")</f>
        <v>12</v>
      </c>
      <c r="D101" s="6">
        <f t="shared" si="16"/>
        <v>12</v>
      </c>
      <c r="E101" s="6">
        <f t="shared" si="16"/>
        <v>15</v>
      </c>
      <c r="F101" s="6">
        <f>COUNTIF(F68:F100,"P")</f>
        <v>0</v>
      </c>
    </row>
    <row r="102" spans="1:11" x14ac:dyDescent="0.25">
      <c r="A102" s="7" t="s">
        <v>7</v>
      </c>
      <c r="B102" s="6">
        <f>COUNTIF(B70:B100,"R")</f>
        <v>17</v>
      </c>
      <c r="C102" s="6">
        <f t="shared" ref="C102:F102" si="17">COUNTIF(C70:C100,"R")</f>
        <v>10</v>
      </c>
      <c r="D102" s="6">
        <f t="shared" si="17"/>
        <v>10</v>
      </c>
      <c r="E102" s="6">
        <f t="shared" si="17"/>
        <v>7</v>
      </c>
      <c r="F102" s="6">
        <f t="shared" si="17"/>
        <v>0</v>
      </c>
    </row>
    <row r="106" spans="1:11" x14ac:dyDescent="0.25">
      <c r="A106" t="s">
        <v>12</v>
      </c>
    </row>
    <row r="107" spans="1:11" x14ac:dyDescent="0.25">
      <c r="A107" s="6" t="s">
        <v>8</v>
      </c>
      <c r="B107" s="6">
        <f>SUM(B101,B67,B36)</f>
        <v>24</v>
      </c>
      <c r="C107" s="6">
        <f t="shared" ref="C107:F107" si="18">SUM(C101,C67,C36)</f>
        <v>35</v>
      </c>
      <c r="D107" s="6">
        <f t="shared" si="18"/>
        <v>26</v>
      </c>
      <c r="E107" s="6">
        <f t="shared" si="18"/>
        <v>31</v>
      </c>
      <c r="F107" s="6">
        <f t="shared" si="18"/>
        <v>6</v>
      </c>
    </row>
    <row r="108" spans="1:11" x14ac:dyDescent="0.25">
      <c r="A108" s="7" t="s">
        <v>7</v>
      </c>
      <c r="B108" s="6">
        <f>SUM(B102,B68,B37)</f>
        <v>38</v>
      </c>
      <c r="C108" s="6">
        <f t="shared" ref="C108:F108" si="19">SUM(C102,C68,C37)</f>
        <v>25</v>
      </c>
      <c r="D108" s="6">
        <f t="shared" si="19"/>
        <v>34</v>
      </c>
      <c r="E108" s="6">
        <f t="shared" si="19"/>
        <v>29</v>
      </c>
      <c r="F108" s="6">
        <f t="shared" si="19"/>
        <v>14</v>
      </c>
    </row>
  </sheetData>
  <mergeCells count="8">
    <mergeCell ref="A69:H69"/>
    <mergeCell ref="P4:T4"/>
    <mergeCell ref="P10:T10"/>
    <mergeCell ref="A1:G1"/>
    <mergeCell ref="A2:G2"/>
    <mergeCell ref="A4:H4"/>
    <mergeCell ref="A38:H38"/>
    <mergeCell ref="P15:T15"/>
  </mergeCells>
  <conditionalFormatting sqref="I5:J35">
    <cfRule type="cellIs" dxfId="11" priority="9" operator="equal">
      <formula>0</formula>
    </cfRule>
    <cfRule type="cellIs" dxfId="10" priority="10" operator="equal">
      <formula>1</formula>
    </cfRule>
    <cfRule type="cellIs" dxfId="9" priority="11" operator="greaterThan">
      <formula>2</formula>
    </cfRule>
    <cfRule type="cellIs" dxfId="8" priority="12" operator="equal">
      <formula>2</formula>
    </cfRule>
  </conditionalFormatting>
  <conditionalFormatting sqref="I39:J66">
    <cfRule type="cellIs" dxfId="7" priority="5" operator="equal">
      <formula>0</formula>
    </cfRule>
    <cfRule type="cellIs" dxfId="6" priority="6" operator="equal">
      <formula>1</formula>
    </cfRule>
    <cfRule type="cellIs" dxfId="5" priority="7" operator="greaterThan">
      <formula>2</formula>
    </cfRule>
    <cfRule type="cellIs" dxfId="4" priority="8" operator="equal">
      <formula>2</formula>
    </cfRule>
  </conditionalFormatting>
  <conditionalFormatting sqref="I70:J100">
    <cfRule type="cellIs" dxfId="3" priority="1" operator="equal">
      <formula>0</formula>
    </cfRule>
    <cfRule type="cellIs" dxfId="2" priority="2" operator="equal">
      <formula>1</formula>
    </cfRule>
    <cfRule type="cellIs" dxfId="1" priority="3" operator="greaterThan">
      <formula>2</formula>
    </cfRule>
    <cfRule type="cellIs" dxfId="0" priority="4" operator="equal">
      <formula>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496E2-A8C7-49E7-8C00-7DFBB50912DB}">
  <dimension ref="A1"/>
  <sheetViews>
    <sheetView workbookViewId="0">
      <selection activeCell="E28" sqref="E28"/>
    </sheetView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4731E-E22E-498F-AB89-14DA62C1EA43}">
  <dimension ref="A1"/>
  <sheetViews>
    <sheetView workbookViewId="0">
      <selection activeCell="G27" sqref="G27"/>
    </sheetView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20DA9-5003-4AF5-97EE-6BF93A4F245A}">
  <dimension ref="A1"/>
  <sheetViews>
    <sheetView workbookViewId="0">
      <selection activeCell="I27" sqref="I27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1_Kwartał</vt:lpstr>
      <vt:lpstr>2_Kwartał</vt:lpstr>
      <vt:lpstr>3_Kwartał</vt:lpstr>
      <vt:lpstr>4_Kwartał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Grzegorz Szymura</dc:creator>
  <cp:lastModifiedBy>Krzysztof Sitko</cp:lastModifiedBy>
  <dcterms:created xsi:type="dcterms:W3CDTF">2025-12-12T09:52:22Z</dcterms:created>
  <dcterms:modified xsi:type="dcterms:W3CDTF">2026-02-06T06:19:46Z</dcterms:modified>
</cp:coreProperties>
</file>